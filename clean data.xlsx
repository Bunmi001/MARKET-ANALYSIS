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-15" yWindow="-15" windowWidth="16890" windowHeight="8490" activeTab="3"/>
  </bookViews>
  <sheets>
    <sheet name="raw data " sheetId="1" r:id="rId1"/>
    <sheet name="clean data" sheetId="2" r:id="rId2"/>
    <sheet name="pivot table" sheetId="4" r:id="rId3"/>
    <sheet name="Sheet5" sheetId="5" r:id="rId4"/>
    <sheet name="Sheet1" sheetId="6" r:id="rId5"/>
  </sheets>
  <definedNames>
    <definedName name="_xlnm.Print_Area">Sheet5!$A$1:$AF$43</definedName>
  </definedNames>
  <calcPr calcId="124519"/>
  <customWorkbookViews>
    <customWorkbookView name="b" guid="{20A29CF7-0ECD-4E2A-8EE1-4ADB988A3385}" xWindow="7" yWindow="30" windowWidth="1110" windowHeight="528" activeSheetId="5" showFormulaBar="0"/>
  </customWorkbookViews>
  <pivotCaches>
    <pivotCache cacheId="0" r:id="rId6"/>
  </pivotCaches>
</workbook>
</file>

<file path=xl/sharedStrings.xml><?xml version="1.0" encoding="utf-8"?>
<sst xmlns="http://schemas.openxmlformats.org/spreadsheetml/2006/main" count="184" uniqueCount="41">
  <si>
    <t>Order_ID</t>
  </si>
  <si>
    <t>Delivery_Zone</t>
  </si>
  <si>
    <t>Driver_Name</t>
  </si>
  <si>
    <t>Distance (KM)</t>
  </si>
  <si>
    <t>Time_Taken (Min)</t>
  </si>
  <si>
    <t>Fuel_Cost ($)</t>
  </si>
  <si>
    <t>Delivery_Status</t>
  </si>
  <si>
    <t>SC-001</t>
  </si>
  <si>
    <t>North</t>
  </si>
  <si>
    <t>Miller</t>
  </si>
  <si>
    <t>Delivered</t>
  </si>
  <si>
    <t>SC-002</t>
  </si>
  <si>
    <t>South</t>
  </si>
  <si>
    <t>Davis</t>
  </si>
  <si>
    <t>SC-003</t>
  </si>
  <si>
    <t>West</t>
  </si>
  <si>
    <t>Delayed</t>
  </si>
  <si>
    <t>SC-004</t>
  </si>
  <si>
    <t>Wilson</t>
  </si>
  <si>
    <t>SC-005</t>
  </si>
  <si>
    <t>East</t>
  </si>
  <si>
    <t>SC-006</t>
  </si>
  <si>
    <t>SC-007</t>
  </si>
  <si>
    <t>SC-008</t>
  </si>
  <si>
    <t>SC-009</t>
  </si>
  <si>
    <t>SC-010</t>
  </si>
  <si>
    <t>SC-011</t>
  </si>
  <si>
    <t>SC-012</t>
  </si>
  <si>
    <t>SC-013</t>
  </si>
  <si>
    <t>SC-014</t>
  </si>
  <si>
    <t>SC-015</t>
  </si>
  <si>
    <t>SC-016</t>
  </si>
  <si>
    <t>Row Labels</t>
  </si>
  <si>
    <t>Grand Total</t>
  </si>
  <si>
    <t>Sum of Distance (KM)</t>
  </si>
  <si>
    <t>Sum of Time_Taken (Min)</t>
  </si>
  <si>
    <t>Sum of Fuel_Cost ($)</t>
  </si>
  <si>
    <t xml:space="preserve">   x</t>
  </si>
  <si>
    <t>Count of Order_ID</t>
  </si>
  <si>
    <t>Count of Order_ID2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</si>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</sst>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Font="1" applyAlignment="1">
      <alignment vertical="center" readingOrder="1"/>
    </xf>
    <xf numFmtId="0" fontId="1" fillId="0" borderId="1" xfId="0" applyFont="1" applyBorder="1" applyAlignment="1">
      <alignment horizontal="left" vertical="center" wrapText="1" readingOrder="1"/>
    </xf>
    <xf numFmtId="164" fontId="2" fillId="0" borderId="1" xfId="0" applyNumberFormat="1" applyFont="1" applyBorder="1" applyAlignment="1">
      <alignment horizontal="left" vertical="center" wrapText="1" readingOrder="1"/>
    </xf>
    <xf numFmtId="164" fontId="1" fillId="0" borderId="1" xfId="0" applyNumberFormat="1" applyFont="1" applyBorder="1" applyAlignment="1">
      <alignment horizontal="left" vertical="center" wrapText="1" readingOrder="1"/>
    </xf>
    <xf numFmtId="164" fontId="0" fillId="0" borderId="0" xfId="0" applyNumberFormat="1" applyFont="1" applyAlignment="1">
      <alignment vertical="center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5"/>
  <c:pivotSource>
    <c:name>[clean data.xlsx]pivot table!PivotTable3</c:name>
    <c:fmtId val="2"/>
  </c:pivotSource>
  <c:chart>
    <c:title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Sum of Distance (KM)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table'!$B$6:$B$11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Sum of Time_Taken (Min)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table'!$C$6:$C$11</c:f>
              <c:numCache>
                <c:formatCode>General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22</c:v>
                </c:pt>
              </c:numCache>
            </c:numRef>
          </c:val>
        </c:ser>
        <c:ser>
          <c:idx val="2"/>
          <c:order val="2"/>
          <c:tx>
            <c:strRef>
              <c:f>'pivot table'!$D$4:$D$5</c:f>
              <c:strCache>
                <c:ptCount val="1"/>
                <c:pt idx="0">
                  <c:v>Sum of Fuel_Cost ($)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table'!$D$6:$D$11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ser>
          <c:idx val="3"/>
          <c:order val="3"/>
          <c:tx>
            <c:strRef>
              <c:f>'pivot table'!$E$4:$E$5</c:f>
              <c:strCache>
                <c:ptCount val="1"/>
                <c:pt idx="0">
                  <c:v>Count of Order_ID2</c:v>
                </c:pt>
              </c:strCache>
            </c:strRef>
          </c:tx>
          <c:dLbls>
            <c:delete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table'!$E$6:$E$11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4"/>
          <c:order val="4"/>
          <c:tx>
            <c:strRef>
              <c:f>'pivot table'!$F$4:$F$5</c:f>
              <c:strCache>
                <c:ptCount val="1"/>
                <c:pt idx="0">
                  <c:v>Count of Order_ID</c:v>
                </c:pt>
              </c:strCache>
            </c:strRef>
          </c:tx>
          <c:dLbls>
            <c:delete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table'!$F$6:$F$11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Val val="1"/>
        </c:dLbls>
        <c:gapWidth val="95"/>
        <c:gapDepth val="95"/>
        <c:shape val="box"/>
        <c:axId val="119089024"/>
        <c:axId val="119090560"/>
        <c:axId val="0"/>
      </c:bar3DChart>
      <c:catAx>
        <c:axId val="119089024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9090560"/>
        <c:crosses val="autoZero"/>
        <c:auto val="1"/>
        <c:lblAlgn val="ctr"/>
        <c:lblOffset val="100"/>
      </c:catAx>
      <c:valAx>
        <c:axId val="119090560"/>
        <c:scaling>
          <c:orientation val="minMax"/>
        </c:scaling>
        <c:delete val="1"/>
        <c:axPos val="l"/>
        <c:numFmt formatCode="General" sourceLinked="1"/>
        <c:tickLblPos val="nextTo"/>
        <c:crossAx val="11908902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4663708804563558"/>
          <c:y val="0.15343445369141695"/>
          <c:w val="0.73153177524707924"/>
          <c:h val="0.21312615505411436"/>
        </c:manualLayout>
      </c:layout>
      <c:txPr>
        <a:bodyPr/>
        <a:lstStyle/>
        <a:p>
          <a:pPr>
            <a:defRPr b="1"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5"/>
  <c:pivotSource>
    <c:name>[clean data.xlsx]pivot table!PivotTable3</c:name>
    <c:fmtId val="5"/>
  </c:pivotSource>
  <c:chart>
    <c:title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Sum of Distance (KM)</c:v>
                </c:pt>
              </c:strCache>
            </c:strRef>
          </c:tx>
          <c:dPt>
            <c:idx val="0"/>
            <c:explosion val="16"/>
          </c:dPt>
          <c:dPt>
            <c:idx val="1"/>
            <c:explosion val="27"/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table'!$B$6:$B$11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Sum of Time_Taken (Min)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table'!$C$6:$C$11</c:f>
              <c:numCache>
                <c:formatCode>General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22</c:v>
                </c:pt>
              </c:numCache>
            </c:numRef>
          </c:val>
        </c:ser>
        <c:ser>
          <c:idx val="2"/>
          <c:order val="2"/>
          <c:tx>
            <c:strRef>
              <c:f>'pivot table'!$D$4:$D$5</c:f>
              <c:strCache>
                <c:ptCount val="1"/>
                <c:pt idx="0">
                  <c:v>Sum of Fuel_Cost ($)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table'!$D$6:$D$11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ser>
          <c:idx val="3"/>
          <c:order val="3"/>
          <c:tx>
            <c:strRef>
              <c:f>'pivot table'!$E$4:$E$5</c:f>
              <c:strCache>
                <c:ptCount val="1"/>
                <c:pt idx="0">
                  <c:v>Count of Order_ID2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table'!$E$6:$E$11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4"/>
          <c:order val="4"/>
          <c:tx>
            <c:strRef>
              <c:f>'pivot table'!$F$4:$F$5</c:f>
              <c:strCache>
                <c:ptCount val="1"/>
                <c:pt idx="0">
                  <c:v>Count of Order_ID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table'!$F$6:$F$11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Percent val="1"/>
        </c:dLbls>
      </c:pie3DChart>
    </c:plotArea>
    <c:legend>
      <c:legendPos val="t"/>
      <c:layout>
        <c:manualLayout>
          <c:xMode val="edge"/>
          <c:yMode val="edge"/>
          <c:x val="0.14150602371486046"/>
          <c:y val="0.20377188752338127"/>
          <c:w val="0.73554944201044803"/>
          <c:h val="7.3732596091918443E-2"/>
        </c:manualLayout>
      </c:layout>
      <c:txPr>
        <a:bodyPr/>
        <a:lstStyle/>
        <a:p>
          <a:pPr>
            <a:defRPr b="1"/>
          </a:pPr>
          <a:endParaRPr lang="en-US"/>
        </a:p>
      </c:txPr>
    </c:legend>
    <c:plotVisOnly val="1"/>
  </c:chart>
  <c:spPr>
    <a:effectLst>
      <a:outerShdw blurRad="63500" dist="12700" dir="5400000" algn="ctr" rotWithShape="0">
        <a:srgbClr val="000000">
          <a:alpha val="43137"/>
        </a:srgbClr>
      </a:outerShdw>
    </a:effectLst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pivotSource>
    <c:name>[clean data.xlsx]pivot table!PivotTable3</c:name>
    <c:fmtId val="8"/>
  </c:pivotSource>
  <c:chart>
    <c:title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layout/>
          <c:showVal val="1"/>
        </c:dLbl>
      </c:pivotFmt>
      <c:pivotFmt>
        <c:idx val="11"/>
        <c:dLbl>
          <c:idx val="0"/>
          <c:layout/>
          <c:showVal val="1"/>
        </c:dLbl>
      </c:pivotFmt>
      <c:pivotFmt>
        <c:idx val="12"/>
        <c:dLbl>
          <c:idx val="0"/>
          <c:layout/>
          <c:showVal val="1"/>
        </c:dLbl>
      </c:pivotFmt>
      <c:pivotFmt>
        <c:idx val="13"/>
        <c:dLbl>
          <c:idx val="0"/>
          <c:layout/>
          <c:showVal val="1"/>
        </c:dLbl>
      </c:pivotFmt>
      <c:pivotFmt>
        <c:idx val="14"/>
        <c:dLbl>
          <c:idx val="0"/>
          <c:layout/>
          <c:showVal val="1"/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Sum of Distance (KM)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table'!$B$6:$B$11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Sum of Time_Taken (Min)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table'!$C$6:$C$11</c:f>
              <c:numCache>
                <c:formatCode>General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22</c:v>
                </c:pt>
              </c:numCache>
            </c:numRef>
          </c:val>
        </c:ser>
        <c:ser>
          <c:idx val="2"/>
          <c:order val="2"/>
          <c:tx>
            <c:strRef>
              <c:f>'pivot table'!$D$4:$D$5</c:f>
              <c:strCache>
                <c:ptCount val="1"/>
                <c:pt idx="0">
                  <c:v>Sum of Fuel_Cost ($)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table'!$D$6:$D$11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ser>
          <c:idx val="3"/>
          <c:order val="3"/>
          <c:tx>
            <c:strRef>
              <c:f>'pivot table'!$E$4:$E$5</c:f>
              <c:strCache>
                <c:ptCount val="1"/>
                <c:pt idx="0">
                  <c:v>Count of Order_ID2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table'!$E$6:$E$11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4"/>
          <c:order val="4"/>
          <c:tx>
            <c:strRef>
              <c:f>'pivot table'!$F$4:$F$5</c:f>
              <c:strCache>
                <c:ptCount val="1"/>
                <c:pt idx="0">
                  <c:v>Count of Order_ID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table'!$F$6:$F$11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Val val="1"/>
        </c:dLbls>
        <c:marker val="1"/>
        <c:axId val="119250304"/>
        <c:axId val="119260288"/>
      </c:lineChart>
      <c:catAx>
        <c:axId val="119250304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9260288"/>
        <c:crosses val="autoZero"/>
        <c:auto val="1"/>
        <c:lblAlgn val="ctr"/>
        <c:lblOffset val="100"/>
      </c:catAx>
      <c:valAx>
        <c:axId val="119260288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11925030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4173600174978127"/>
          <c:y val="0.14894275677775928"/>
          <c:w val="0.7276391076115486"/>
          <c:h val="0.21248233698884317"/>
        </c:manualLayout>
      </c:layout>
      <c:txPr>
        <a:bodyPr/>
        <a:lstStyle/>
        <a:p>
          <a:pPr>
            <a:defRPr b="1"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pivotSource>
    <c:name>[clean data.xlsx]pivot table!PivotTable3</c:name>
    <c:fmtId val="11"/>
  </c:pivotSource>
  <c:chart>
    <c:title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view3D>
      <c:perspective val="30"/>
    </c:view3D>
    <c:plotArea>
      <c:layout/>
      <c:bar3DChart>
        <c:barDir val="col"/>
        <c:grouping val="standard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Sum of Distance (KM)</c:v>
                </c:pt>
              </c:strCache>
            </c:strRef>
          </c:tx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table'!$B$6:$B$11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Sum of Time_Taken (Min)</c:v>
                </c:pt>
              </c:strCache>
            </c:strRef>
          </c:tx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table'!$C$6:$C$11</c:f>
              <c:numCache>
                <c:formatCode>General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22</c:v>
                </c:pt>
              </c:numCache>
            </c:numRef>
          </c:val>
        </c:ser>
        <c:ser>
          <c:idx val="2"/>
          <c:order val="2"/>
          <c:tx>
            <c:strRef>
              <c:f>'pivot table'!$D$4:$D$5</c:f>
              <c:strCache>
                <c:ptCount val="1"/>
                <c:pt idx="0">
                  <c:v>Sum of Fuel_Cost ($)</c:v>
                </c:pt>
              </c:strCache>
            </c:strRef>
          </c:tx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table'!$D$6:$D$11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ser>
          <c:idx val="3"/>
          <c:order val="3"/>
          <c:tx>
            <c:strRef>
              <c:f>'pivot table'!$E$4:$E$5</c:f>
              <c:strCache>
                <c:ptCount val="1"/>
                <c:pt idx="0">
                  <c:v>Count of Order_ID2</c:v>
                </c:pt>
              </c:strCache>
            </c:strRef>
          </c:tx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table'!$E$6:$E$11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4"/>
          <c:order val="4"/>
          <c:tx>
            <c:strRef>
              <c:f>'pivot table'!$F$4:$F$5</c:f>
              <c:strCache>
                <c:ptCount val="1"/>
                <c:pt idx="0">
                  <c:v>Count of Order_ID</c:v>
                </c:pt>
              </c:strCache>
            </c:strRef>
          </c:tx>
          <c:cat>
            <c:multiLvlStrRef>
              <c:f>'pivot table'!$A$6:$A$11</c:f>
              <c:multiLvlStrCache>
                <c:ptCount val="3"/>
                <c:lvl>
                  <c:pt idx="0">
                    <c:v>SC-002</c:v>
                  </c:pt>
                  <c:pt idx="1">
                    <c:v>SC-008</c:v>
                  </c:pt>
                  <c:pt idx="2">
                    <c:v>SC-013</c:v>
                  </c:pt>
                </c:lvl>
                <c:lvl>
                  <c:pt idx="0">
                    <c:v>Davis</c:v>
                  </c:pt>
                  <c:pt idx="2">
                    <c:v>Wilson</c:v>
                  </c:pt>
                </c:lvl>
              </c:multiLvlStrCache>
            </c:multiLvlStrRef>
          </c:cat>
          <c:val>
            <c:numRef>
              <c:f>'pivot table'!$F$6:$F$11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/>
        <c:gapWidth val="75"/>
        <c:shape val="pyramid"/>
        <c:axId val="119418880"/>
        <c:axId val="119420416"/>
        <c:axId val="119257728"/>
      </c:bar3DChart>
      <c:catAx>
        <c:axId val="119418880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9420416"/>
        <c:crosses val="autoZero"/>
        <c:auto val="1"/>
        <c:lblAlgn val="ctr"/>
        <c:lblOffset val="100"/>
      </c:catAx>
      <c:valAx>
        <c:axId val="11942041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b="1"/>
            </a:pPr>
            <a:endParaRPr lang="en-US"/>
          </a:p>
        </c:txPr>
        <c:crossAx val="119418880"/>
        <c:crosses val="autoZero"/>
        <c:crossBetween val="between"/>
      </c:valAx>
      <c:serAx>
        <c:axId val="119257728"/>
        <c:scaling>
          <c:orientation val="minMax"/>
        </c:scaling>
        <c:delete val="1"/>
        <c:axPos val="b"/>
        <c:tickLblPos val="nextTo"/>
        <c:crossAx val="119420416"/>
        <c:crosses val="autoZero"/>
      </c:serAx>
    </c:plotArea>
    <c:legend>
      <c:legendPos val="b"/>
      <c:layout>
        <c:manualLayout>
          <c:xMode val="edge"/>
          <c:yMode val="edge"/>
          <c:x val="0.21340412824179858"/>
          <c:y val="0.76501556870608567"/>
          <c:w val="0.65669883122647243"/>
          <c:h val="0.21842128429598473"/>
        </c:manualLayout>
      </c:layout>
      <c:txPr>
        <a:bodyPr/>
        <a:lstStyle/>
        <a:p>
          <a:pPr>
            <a:defRPr b="1"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514349</xdr:colOff>
      <xdr:row>8</xdr:row>
      <xdr:rowOff>190499</xdr:rowOff>
    </xdr:from>
    <xdr:to>
      <xdr:col>17</xdr:col>
      <xdr:colOff>342900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495301</xdr:colOff>
      <xdr:row>25</xdr:row>
      <xdr:rowOff>171451</xdr:rowOff>
    </xdr:from>
    <xdr:to>
      <xdr:col>17</xdr:col>
      <xdr:colOff>333375</xdr:colOff>
      <xdr:row>42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19050</xdr:colOff>
      <xdr:row>9</xdr:row>
      <xdr:rowOff>9524</xdr:rowOff>
    </xdr:from>
    <xdr:to>
      <xdr:col>25</xdr:col>
      <xdr:colOff>323850</xdr:colOff>
      <xdr:row>25</xdr:row>
      <xdr:rowOff>114299</xdr:rowOff>
    </xdr:to>
    <xdr:graphicFrame macro="[0]!Chart4_Click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19050</xdr:colOff>
      <xdr:row>26</xdr:row>
      <xdr:rowOff>38100</xdr:rowOff>
    </xdr:from>
    <xdr:to>
      <xdr:col>25</xdr:col>
      <xdr:colOff>314325</xdr:colOff>
      <xdr:row>42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504825</xdr:colOff>
      <xdr:row>0</xdr:row>
      <xdr:rowOff>19049</xdr:rowOff>
    </xdr:from>
    <xdr:to>
      <xdr:col>25</xdr:col>
      <xdr:colOff>323851</xdr:colOff>
      <xdr:row>8</xdr:row>
      <xdr:rowOff>49529</xdr:rowOff>
    </xdr:to>
    <xdr:sp macro="" textlink="">
      <xdr:nvSpPr>
        <xdr:cNvPr id="7" name="Rectangle 6"/>
        <xdr:cNvSpPr/>
      </xdr:nvSpPr>
      <xdr:spPr>
        <a:xfrm>
          <a:off x="6600825" y="19049"/>
          <a:ext cx="8963026" cy="155448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4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MARKET ANALYSIS FOR LOGISTIC</a:t>
          </a:r>
          <a:r>
            <a:rPr lang="en-US" sz="4800" b="0" cap="none" spc="0" baseline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 BUSINESS </a:t>
          </a:r>
          <a:endParaRPr lang="en-US" sz="48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26.837434606481" createdVersion="3" refreshedVersion="3" minRefreshableVersion="3" recordCount="15">
  <cacheSource type="worksheet">
    <worksheetSource ref="A1:H16" sheet="clean data"/>
  </cacheSource>
  <cacheFields count="8">
    <cacheField name="Order_ID" numFmtId="0">
      <sharedItems count="15">
        <s v="SC-001"/>
        <s v="SC-002"/>
        <s v="SC-003"/>
        <s v="SC-004"/>
        <s v="SC-005"/>
        <s v="SC-006"/>
        <s v="SC-007"/>
        <s v="SC-008"/>
        <s v="SC-009"/>
        <s v="SC-010"/>
        <s v="SC-011"/>
        <s v="SC-012"/>
        <s v="SC-013"/>
        <s v="SC-014"/>
        <s v="SC-015"/>
      </sharedItems>
    </cacheField>
    <cacheField name="Order_ID2" numFmtId="0">
      <sharedItems/>
    </cacheField>
    <cacheField name="Delivery_Zone" numFmtId="0">
      <sharedItems count="4">
        <s v="North"/>
        <s v="South"/>
        <s v="West"/>
        <s v="East"/>
      </sharedItems>
    </cacheField>
    <cacheField name="Driver_Name" numFmtId="0">
      <sharedItems count="3">
        <s v="Miller"/>
        <s v="Davis"/>
        <s v="Wilson"/>
      </sharedItems>
    </cacheField>
    <cacheField name="Distance (KM)" numFmtId="0">
      <sharedItems containsSemiMixedTypes="0" containsString="0" containsNumber="1" containsInteger="1" minValue="5" maxValue="31"/>
    </cacheField>
    <cacheField name="Time_Taken (Min)" numFmtId="0">
      <sharedItems containsSemiMixedTypes="0" containsString="0" containsNumber="1" containsInteger="1" minValue="15" maxValue="150" count="15">
        <n v="45"/>
        <n v="20"/>
        <n v="110"/>
        <n v="40"/>
        <n v="15"/>
        <n v="145"/>
        <n v="38"/>
        <n v="25"/>
        <n v="95"/>
        <n v="18"/>
        <n v="50"/>
        <n v="130"/>
        <n v="22"/>
        <n v="48"/>
        <n v="150"/>
      </sharedItems>
    </cacheField>
    <cacheField name="Fuel_Cost ($)" numFmtId="164">
      <sharedItems containsSemiMixedTypes="0" containsString="0" containsNumber="1" minValue="6.5" maxValue="42" count="15">
        <n v="15.5"/>
        <n v="10"/>
        <n v="32"/>
        <n v="18"/>
        <n v="6.5"/>
        <n v="40"/>
        <n v="17.5"/>
        <n v="11"/>
        <n v="28.5"/>
        <n v="7"/>
        <n v="16"/>
        <n v="38"/>
        <n v="12"/>
        <n v="17"/>
        <n v="42"/>
      </sharedItems>
    </cacheField>
    <cacheField name="Delivery_Status" numFmtId="0">
      <sharedItems count="2">
        <s v="Delivered"/>
        <s v="Delaye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s v="SC-002"/>
    <x v="0"/>
    <x v="0"/>
    <n v="12"/>
    <x v="0"/>
    <x v="0"/>
    <x v="0"/>
  </r>
  <r>
    <x v="1"/>
    <s v="SC-003"/>
    <x v="1"/>
    <x v="1"/>
    <n v="8"/>
    <x v="1"/>
    <x v="1"/>
    <x v="0"/>
  </r>
  <r>
    <x v="2"/>
    <s v="SC-004"/>
    <x v="2"/>
    <x v="0"/>
    <n v="25"/>
    <x v="2"/>
    <x v="2"/>
    <x v="1"/>
  </r>
  <r>
    <x v="3"/>
    <s v="SC-005"/>
    <x v="0"/>
    <x v="2"/>
    <n v="15"/>
    <x v="3"/>
    <x v="3"/>
    <x v="0"/>
  </r>
  <r>
    <x v="4"/>
    <s v="SC-006"/>
    <x v="3"/>
    <x v="1"/>
    <n v="5"/>
    <x v="4"/>
    <x v="4"/>
    <x v="0"/>
  </r>
  <r>
    <x v="5"/>
    <s v="SC-007"/>
    <x v="2"/>
    <x v="0"/>
    <n v="30"/>
    <x v="5"/>
    <x v="5"/>
    <x v="1"/>
  </r>
  <r>
    <x v="6"/>
    <s v="SC-008"/>
    <x v="0"/>
    <x v="2"/>
    <n v="14"/>
    <x v="6"/>
    <x v="6"/>
    <x v="0"/>
  </r>
  <r>
    <x v="7"/>
    <s v="SC-009"/>
    <x v="1"/>
    <x v="1"/>
    <n v="9"/>
    <x v="7"/>
    <x v="7"/>
    <x v="0"/>
  </r>
  <r>
    <x v="8"/>
    <s v="SC-010"/>
    <x v="2"/>
    <x v="0"/>
    <n v="22"/>
    <x v="8"/>
    <x v="8"/>
    <x v="1"/>
  </r>
  <r>
    <x v="9"/>
    <s v="SC-011"/>
    <x v="3"/>
    <x v="2"/>
    <n v="6"/>
    <x v="9"/>
    <x v="9"/>
    <x v="0"/>
  </r>
  <r>
    <x v="10"/>
    <s v="SC-012"/>
    <x v="0"/>
    <x v="0"/>
    <n v="13"/>
    <x v="10"/>
    <x v="10"/>
    <x v="0"/>
  </r>
  <r>
    <x v="11"/>
    <s v="SC-013"/>
    <x v="2"/>
    <x v="1"/>
    <n v="28"/>
    <x v="11"/>
    <x v="11"/>
    <x v="1"/>
  </r>
  <r>
    <x v="12"/>
    <s v="SC-014"/>
    <x v="1"/>
    <x v="2"/>
    <n v="10"/>
    <x v="12"/>
    <x v="12"/>
    <x v="0"/>
  </r>
  <r>
    <x v="13"/>
    <s v="SC-015"/>
    <x v="0"/>
    <x v="0"/>
    <n v="14"/>
    <x v="13"/>
    <x v="13"/>
    <x v="0"/>
  </r>
  <r>
    <x v="14"/>
    <s v="SC-016"/>
    <x v="2"/>
    <x v="1"/>
    <n v="31"/>
    <x v="14"/>
    <x v="1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   x" updatedVersion="3" minRefreshableVersion="3" showCalcMbrs="0" useAutoFormatting="1" itemPrintTitles="1" createdVersion="3" indent="0" outline="1" outlineData="1" multipleFieldFilters="0" chartFormat="12">
  <location ref="A4:F11" firstHeaderRow="1" firstDataRow="2" firstDataCol="1" rowPageCount="2" colPageCount="1"/>
  <pivotFields count="8">
    <pivotField axis="axisRow"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>
      <items count="16">
        <item x="4"/>
        <item x="9"/>
        <item x="1"/>
        <item x="12"/>
        <item x="7"/>
        <item x="6"/>
        <item x="3"/>
        <item x="0"/>
        <item x="13"/>
        <item x="10"/>
        <item x="8"/>
        <item x="2"/>
        <item x="11"/>
        <item x="5"/>
        <item x="14"/>
        <item t="default"/>
      </items>
    </pivotField>
    <pivotField dataField="1" numFmtId="164" showAll="0">
      <items count="16">
        <item x="4"/>
        <item x="9"/>
        <item x="1"/>
        <item x="7"/>
        <item x="12"/>
        <item x="0"/>
        <item x="10"/>
        <item x="13"/>
        <item x="6"/>
        <item x="3"/>
        <item x="8"/>
        <item x="2"/>
        <item x="11"/>
        <item x="5"/>
        <item x="14"/>
        <item t="default"/>
      </items>
    </pivotField>
    <pivotField axis="axisPage" showAll="0">
      <items count="3">
        <item x="1"/>
        <item x="0"/>
        <item t="default"/>
      </items>
    </pivotField>
  </pivotFields>
  <rowFields count="2">
    <field x="3"/>
    <field x="0"/>
  </rowFields>
  <rowItems count="6">
    <i>
      <x/>
    </i>
    <i r="1">
      <x v="1"/>
    </i>
    <i r="1">
      <x v="7"/>
    </i>
    <i>
      <x v="2"/>
    </i>
    <i r="1"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7" item="1" hier="-1"/>
    <pageField fld="2" item="2" hier="-1"/>
  </pageFields>
  <dataFields count="5">
    <dataField name="Sum of Distance (KM)" fld="4" baseField="0" baseItem="0"/>
    <dataField name="Sum of Time_Taken (Min)" fld="5" baseField="0" baseItem="0"/>
    <dataField name="Sum of Fuel_Cost ($)" fld="6" baseField="0" baseItem="0"/>
    <dataField name="Count of Order_ID2" fld="1" subtotal="count" baseField="0" baseItem="0"/>
    <dataField name="Count of Order_ID" fld="0" subtotal="count" baseField="0" baseItem="0"/>
  </dataFields>
  <chartFormats count="20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selection sqref="A1:XFD1048576"/>
    </sheetView>
  </sheetViews>
  <sheetFormatPr defaultRowHeight="15"/>
  <cols>
    <col min="1" max="1" width="14.42578125" style="3" customWidth="1"/>
    <col min="2" max="2" width="14.140625" style="3" customWidth="1"/>
    <col min="3" max="3" width="18.5703125" style="3" customWidth="1"/>
    <col min="4" max="4" width="16.7109375" style="3" customWidth="1"/>
    <col min="5" max="5" width="16.28515625" style="3" customWidth="1"/>
    <col min="6" max="6" width="18.28515625" style="3" customWidth="1"/>
    <col min="7" max="7" width="16" style="3" customWidth="1"/>
    <col min="8" max="8" width="15.140625" style="3" customWidth="1"/>
    <col min="9" max="10" width="9.140625" style="1"/>
    <col min="11" max="16384" width="9.140625" style="3"/>
  </cols>
  <sheetData>
    <row r="1" spans="1:8" s="3" customFormat="1" ht="30.75" thickBot="1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s="3" customFormat="1" ht="15.75" thickBot="1">
      <c r="A2" s="4" t="s">
        <v>7</v>
      </c>
      <c r="B2" s="4" t="s">
        <v>11</v>
      </c>
      <c r="C2" s="4" t="s">
        <v>8</v>
      </c>
      <c r="D2" s="4" t="s">
        <v>9</v>
      </c>
      <c r="E2" s="4">
        <v>12</v>
      </c>
      <c r="F2" s="4">
        <v>45</v>
      </c>
      <c r="G2" s="4">
        <v>15.5</v>
      </c>
      <c r="H2" s="4" t="s">
        <v>10</v>
      </c>
    </row>
    <row r="3" spans="1:8" s="3" customFormat="1" ht="15.75" thickBot="1">
      <c r="A3" s="4" t="s">
        <v>11</v>
      </c>
      <c r="B3" s="4" t="s">
        <v>14</v>
      </c>
      <c r="C3" s="4" t="s">
        <v>12</v>
      </c>
      <c r="D3" s="4" t="s">
        <v>13</v>
      </c>
      <c r="E3" s="4">
        <v>8</v>
      </c>
      <c r="F3" s="4">
        <v>20</v>
      </c>
      <c r="G3" s="4">
        <v>10</v>
      </c>
      <c r="H3" s="4" t="s">
        <v>10</v>
      </c>
    </row>
    <row r="4" spans="1:8" s="3" customFormat="1" ht="15.75" thickBot="1">
      <c r="A4" s="4" t="s">
        <v>14</v>
      </c>
      <c r="B4" s="4" t="s">
        <v>17</v>
      </c>
      <c r="C4" s="4" t="s">
        <v>15</v>
      </c>
      <c r="D4" s="4" t="s">
        <v>9</v>
      </c>
      <c r="E4" s="4">
        <v>25</v>
      </c>
      <c r="F4" s="4">
        <v>110</v>
      </c>
      <c r="G4" s="4">
        <v>32</v>
      </c>
      <c r="H4" s="4" t="s">
        <v>16</v>
      </c>
    </row>
    <row r="5" spans="1:8" s="3" customFormat="1" ht="15.75" thickBot="1">
      <c r="A5" s="4" t="s">
        <v>17</v>
      </c>
      <c r="B5" s="4" t="s">
        <v>19</v>
      </c>
      <c r="C5" s="4" t="s">
        <v>8</v>
      </c>
      <c r="D5" s="4" t="s">
        <v>18</v>
      </c>
      <c r="E5" s="4">
        <v>15</v>
      </c>
      <c r="F5" s="4">
        <v>40</v>
      </c>
      <c r="G5" s="4">
        <v>18</v>
      </c>
      <c r="H5" s="4" t="s">
        <v>10</v>
      </c>
    </row>
    <row r="6" spans="1:8" s="3" customFormat="1" ht="15.75" thickBot="1">
      <c r="A6" s="4" t="s">
        <v>19</v>
      </c>
      <c r="B6" s="4" t="s">
        <v>21</v>
      </c>
      <c r="C6" s="4" t="s">
        <v>20</v>
      </c>
      <c r="D6" s="4" t="s">
        <v>13</v>
      </c>
      <c r="E6" s="4">
        <v>5</v>
      </c>
      <c r="F6" s="4">
        <v>15</v>
      </c>
      <c r="G6" s="4">
        <v>6.5</v>
      </c>
      <c r="H6" s="4" t="s">
        <v>10</v>
      </c>
    </row>
    <row r="7" spans="1:8" s="3" customFormat="1" ht="15.75" thickBot="1">
      <c r="A7" s="4" t="s">
        <v>21</v>
      </c>
      <c r="B7" s="4" t="s">
        <v>22</v>
      </c>
      <c r="C7" s="4" t="s">
        <v>15</v>
      </c>
      <c r="D7" s="4" t="s">
        <v>9</v>
      </c>
      <c r="E7" s="4">
        <v>30</v>
      </c>
      <c r="F7" s="4">
        <v>145</v>
      </c>
      <c r="G7" s="4">
        <v>40</v>
      </c>
      <c r="H7" s="4" t="s">
        <v>16</v>
      </c>
    </row>
    <row r="8" spans="1:8" s="3" customFormat="1" ht="15.75" thickBot="1">
      <c r="A8" s="4" t="s">
        <v>22</v>
      </c>
      <c r="B8" s="4" t="s">
        <v>23</v>
      </c>
      <c r="C8" s="4" t="s">
        <v>8</v>
      </c>
      <c r="D8" s="4" t="s">
        <v>18</v>
      </c>
      <c r="E8" s="4">
        <v>14</v>
      </c>
      <c r="F8" s="4">
        <v>38</v>
      </c>
      <c r="G8" s="4">
        <v>17.5</v>
      </c>
      <c r="H8" s="4" t="s">
        <v>10</v>
      </c>
    </row>
    <row r="9" spans="1:8" s="3" customFormat="1" ht="15.75" thickBot="1">
      <c r="A9" s="4" t="s">
        <v>23</v>
      </c>
      <c r="B9" s="4" t="s">
        <v>24</v>
      </c>
      <c r="C9" s="4" t="s">
        <v>12</v>
      </c>
      <c r="D9" s="4" t="s">
        <v>13</v>
      </c>
      <c r="E9" s="4">
        <v>9</v>
      </c>
      <c r="F9" s="4">
        <v>25</v>
      </c>
      <c r="G9" s="4">
        <v>11</v>
      </c>
      <c r="H9" s="4" t="s">
        <v>10</v>
      </c>
    </row>
    <row r="10" spans="1:8" s="3" customFormat="1" ht="15.75" thickBot="1">
      <c r="A10" s="4" t="s">
        <v>24</v>
      </c>
      <c r="B10" s="4" t="s">
        <v>25</v>
      </c>
      <c r="C10" s="4" t="s">
        <v>15</v>
      </c>
      <c r="D10" s="4" t="s">
        <v>9</v>
      </c>
      <c r="E10" s="4">
        <v>22</v>
      </c>
      <c r="F10" s="4">
        <v>95</v>
      </c>
      <c r="G10" s="4">
        <v>28.5</v>
      </c>
      <c r="H10" s="4" t="s">
        <v>16</v>
      </c>
    </row>
    <row r="11" spans="1:8" s="3" customFormat="1" ht="15.75" thickBot="1">
      <c r="A11" s="4" t="s">
        <v>25</v>
      </c>
      <c r="B11" s="4" t="s">
        <v>26</v>
      </c>
      <c r="C11" s="4" t="s">
        <v>20</v>
      </c>
      <c r="D11" s="4" t="s">
        <v>18</v>
      </c>
      <c r="E11" s="4">
        <v>6</v>
      </c>
      <c r="F11" s="4">
        <v>18</v>
      </c>
      <c r="G11" s="4">
        <v>7</v>
      </c>
      <c r="H11" s="4" t="s">
        <v>10</v>
      </c>
    </row>
    <row r="12" spans="1:8" s="3" customFormat="1" ht="15.75" thickBot="1">
      <c r="A12" s="4" t="s">
        <v>26</v>
      </c>
      <c r="B12" s="4" t="s">
        <v>27</v>
      </c>
      <c r="C12" s="4" t="s">
        <v>8</v>
      </c>
      <c r="D12" s="4" t="s">
        <v>9</v>
      </c>
      <c r="E12" s="4">
        <v>13</v>
      </c>
      <c r="F12" s="4">
        <v>50</v>
      </c>
      <c r="G12" s="4">
        <v>16</v>
      </c>
      <c r="H12" s="4" t="s">
        <v>10</v>
      </c>
    </row>
    <row r="13" spans="1:8" s="3" customFormat="1" ht="15.75" thickBot="1">
      <c r="A13" s="4" t="s">
        <v>27</v>
      </c>
      <c r="B13" s="4" t="s">
        <v>28</v>
      </c>
      <c r="C13" s="4" t="s">
        <v>15</v>
      </c>
      <c r="D13" s="4" t="s">
        <v>13</v>
      </c>
      <c r="E13" s="4">
        <v>28</v>
      </c>
      <c r="F13" s="4">
        <v>130</v>
      </c>
      <c r="G13" s="4">
        <v>38</v>
      </c>
      <c r="H13" s="4" t="s">
        <v>16</v>
      </c>
    </row>
    <row r="14" spans="1:8" s="3" customFormat="1" ht="15.75" thickBot="1">
      <c r="A14" s="4" t="s">
        <v>28</v>
      </c>
      <c r="B14" s="4" t="s">
        <v>29</v>
      </c>
      <c r="C14" s="4" t="s">
        <v>12</v>
      </c>
      <c r="D14" s="4" t="s">
        <v>18</v>
      </c>
      <c r="E14" s="4">
        <v>10</v>
      </c>
      <c r="F14" s="4">
        <v>22</v>
      </c>
      <c r="G14" s="4">
        <v>12</v>
      </c>
      <c r="H14" s="4" t="s">
        <v>10</v>
      </c>
    </row>
    <row r="15" spans="1:8" s="3" customFormat="1" ht="15.75" thickBot="1">
      <c r="A15" s="4" t="s">
        <v>29</v>
      </c>
      <c r="B15" s="4" t="s">
        <v>30</v>
      </c>
      <c r="C15" s="4" t="s">
        <v>8</v>
      </c>
      <c r="D15" s="4" t="s">
        <v>9</v>
      </c>
      <c r="E15" s="4">
        <v>14</v>
      </c>
      <c r="F15" s="4">
        <v>48</v>
      </c>
      <c r="G15" s="4">
        <v>17</v>
      </c>
      <c r="H15" s="4" t="s">
        <v>10</v>
      </c>
    </row>
    <row r="16" spans="1:8" s="3" customFormat="1" ht="15.75" thickBot="1">
      <c r="A16" s="4" t="s">
        <v>30</v>
      </c>
      <c r="B16" s="4" t="s">
        <v>31</v>
      </c>
      <c r="C16" s="4" t="s">
        <v>15</v>
      </c>
      <c r="D16" s="4" t="s">
        <v>13</v>
      </c>
      <c r="E16" s="4">
        <v>31</v>
      </c>
      <c r="F16" s="4">
        <v>150</v>
      </c>
      <c r="G16" s="4">
        <v>42</v>
      </c>
      <c r="H16" s="4" t="s">
        <v>16</v>
      </c>
    </row>
    <row r="18" spans="9:10">
      <c r="I18" s="3"/>
      <c r="J18" s="3"/>
    </row>
  </sheetData>
  <customSheetViews>
    <customSheetView guid="{20A29CF7-0ECD-4E2A-8EE1-4ADB988A3385}">
      <selection sqref="A1:XFD1048576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selection sqref="A1:XFD1048576"/>
    </sheetView>
  </sheetViews>
  <sheetFormatPr defaultRowHeight="15"/>
  <cols>
    <col min="1" max="1" width="14.42578125" style="3" customWidth="1"/>
    <col min="2" max="2" width="14.140625" style="3" customWidth="1"/>
    <col min="3" max="3" width="18.5703125" style="3" customWidth="1"/>
    <col min="4" max="4" width="16.7109375" style="3" customWidth="1"/>
    <col min="5" max="5" width="16.28515625" style="3" customWidth="1"/>
    <col min="6" max="6" width="18.28515625" style="3" customWidth="1"/>
    <col min="7" max="7" width="16" style="7" customWidth="1"/>
    <col min="8" max="8" width="15.140625" style="3" customWidth="1"/>
    <col min="9" max="10" width="9.140625" style="1"/>
    <col min="11" max="16384" width="9.140625" style="3"/>
  </cols>
  <sheetData>
    <row r="1" spans="1:8" s="3" customFormat="1" ht="30.75" thickBot="1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5</v>
      </c>
      <c r="H1" s="2" t="s">
        <v>6</v>
      </c>
    </row>
    <row r="2" spans="1:8" s="3" customFormat="1" ht="15.75" thickBot="1">
      <c r="A2" s="4" t="s">
        <v>7</v>
      </c>
      <c r="B2" s="4" t="s">
        <v>11</v>
      </c>
      <c r="C2" s="4" t="s">
        <v>8</v>
      </c>
      <c r="D2" s="4" t="s">
        <v>9</v>
      </c>
      <c r="E2" s="4">
        <v>12</v>
      </c>
      <c r="F2" s="4">
        <v>45</v>
      </c>
      <c r="G2" s="6">
        <v>15.5</v>
      </c>
      <c r="H2" s="4" t="s">
        <v>10</v>
      </c>
    </row>
    <row r="3" spans="1:8" s="3" customFormat="1" ht="15.75" thickBot="1">
      <c r="A3" s="4" t="s">
        <v>11</v>
      </c>
      <c r="B3" s="4" t="s">
        <v>14</v>
      </c>
      <c r="C3" s="4" t="s">
        <v>12</v>
      </c>
      <c r="D3" s="4" t="s">
        <v>13</v>
      </c>
      <c r="E3" s="4">
        <v>8</v>
      </c>
      <c r="F3" s="4">
        <v>20</v>
      </c>
      <c r="G3" s="6">
        <v>10</v>
      </c>
      <c r="H3" s="4" t="s">
        <v>10</v>
      </c>
    </row>
    <row r="4" spans="1:8" s="3" customFormat="1" ht="15.75" thickBot="1">
      <c r="A4" s="4" t="s">
        <v>14</v>
      </c>
      <c r="B4" s="4" t="s">
        <v>17</v>
      </c>
      <c r="C4" s="4" t="s">
        <v>15</v>
      </c>
      <c r="D4" s="4" t="s">
        <v>9</v>
      </c>
      <c r="E4" s="4">
        <v>25</v>
      </c>
      <c r="F4" s="4">
        <v>110</v>
      </c>
      <c r="G4" s="6">
        <v>32</v>
      </c>
      <c r="H4" s="4" t="s">
        <v>16</v>
      </c>
    </row>
    <row r="5" spans="1:8" s="3" customFormat="1" ht="15.75" thickBot="1">
      <c r="A5" s="4" t="s">
        <v>17</v>
      </c>
      <c r="B5" s="4" t="s">
        <v>19</v>
      </c>
      <c r="C5" s="4" t="s">
        <v>8</v>
      </c>
      <c r="D5" s="4" t="s">
        <v>18</v>
      </c>
      <c r="E5" s="4">
        <v>15</v>
      </c>
      <c r="F5" s="4">
        <v>40</v>
      </c>
      <c r="G5" s="6">
        <v>18</v>
      </c>
      <c r="H5" s="4" t="s">
        <v>10</v>
      </c>
    </row>
    <row r="6" spans="1:8" s="3" customFormat="1" ht="15.75" thickBot="1">
      <c r="A6" s="4" t="s">
        <v>19</v>
      </c>
      <c r="B6" s="4" t="s">
        <v>21</v>
      </c>
      <c r="C6" s="4" t="s">
        <v>20</v>
      </c>
      <c r="D6" s="4" t="s">
        <v>13</v>
      </c>
      <c r="E6" s="4">
        <v>5</v>
      </c>
      <c r="F6" s="4">
        <v>15</v>
      </c>
      <c r="G6" s="6">
        <v>6.5</v>
      </c>
      <c r="H6" s="4" t="s">
        <v>10</v>
      </c>
    </row>
    <row r="7" spans="1:8" s="3" customFormat="1" ht="15.75" thickBot="1">
      <c r="A7" s="4" t="s">
        <v>21</v>
      </c>
      <c r="B7" s="4" t="s">
        <v>22</v>
      </c>
      <c r="C7" s="4" t="s">
        <v>15</v>
      </c>
      <c r="D7" s="4" t="s">
        <v>9</v>
      </c>
      <c r="E7" s="4">
        <v>30</v>
      </c>
      <c r="F7" s="4">
        <v>145</v>
      </c>
      <c r="G7" s="6">
        <v>40</v>
      </c>
      <c r="H7" s="4" t="s">
        <v>16</v>
      </c>
    </row>
    <row r="8" spans="1:8" s="3" customFormat="1" ht="15.75" thickBot="1">
      <c r="A8" s="4" t="s">
        <v>22</v>
      </c>
      <c r="B8" s="4" t="s">
        <v>23</v>
      </c>
      <c r="C8" s="4" t="s">
        <v>8</v>
      </c>
      <c r="D8" s="4" t="s">
        <v>18</v>
      </c>
      <c r="E8" s="4">
        <v>14</v>
      </c>
      <c r="F8" s="4">
        <v>38</v>
      </c>
      <c r="G8" s="6">
        <v>17.5</v>
      </c>
      <c r="H8" s="4" t="s">
        <v>10</v>
      </c>
    </row>
    <row r="9" spans="1:8" s="3" customFormat="1" ht="15.75" thickBot="1">
      <c r="A9" s="4" t="s">
        <v>23</v>
      </c>
      <c r="B9" s="4" t="s">
        <v>24</v>
      </c>
      <c r="C9" s="4" t="s">
        <v>12</v>
      </c>
      <c r="D9" s="4" t="s">
        <v>13</v>
      </c>
      <c r="E9" s="4">
        <v>9</v>
      </c>
      <c r="F9" s="4">
        <v>25</v>
      </c>
      <c r="G9" s="6">
        <v>11</v>
      </c>
      <c r="H9" s="4" t="s">
        <v>10</v>
      </c>
    </row>
    <row r="10" spans="1:8" s="3" customFormat="1" ht="15.75" thickBot="1">
      <c r="A10" s="4" t="s">
        <v>24</v>
      </c>
      <c r="B10" s="4" t="s">
        <v>25</v>
      </c>
      <c r="C10" s="4" t="s">
        <v>15</v>
      </c>
      <c r="D10" s="4" t="s">
        <v>9</v>
      </c>
      <c r="E10" s="4">
        <v>22</v>
      </c>
      <c r="F10" s="4">
        <v>95</v>
      </c>
      <c r="G10" s="6">
        <v>28.5</v>
      </c>
      <c r="H10" s="4" t="s">
        <v>16</v>
      </c>
    </row>
    <row r="11" spans="1:8" s="3" customFormat="1" ht="15.75" thickBot="1">
      <c r="A11" s="4" t="s">
        <v>25</v>
      </c>
      <c r="B11" s="4" t="s">
        <v>26</v>
      </c>
      <c r="C11" s="4" t="s">
        <v>20</v>
      </c>
      <c r="D11" s="4" t="s">
        <v>18</v>
      </c>
      <c r="E11" s="4">
        <v>6</v>
      </c>
      <c r="F11" s="4">
        <v>18</v>
      </c>
      <c r="G11" s="6">
        <v>7</v>
      </c>
      <c r="H11" s="4" t="s">
        <v>10</v>
      </c>
    </row>
    <row r="12" spans="1:8" s="3" customFormat="1" ht="15.75" thickBot="1">
      <c r="A12" s="4" t="s">
        <v>26</v>
      </c>
      <c r="B12" s="4" t="s">
        <v>27</v>
      </c>
      <c r="C12" s="4" t="s">
        <v>8</v>
      </c>
      <c r="D12" s="4" t="s">
        <v>9</v>
      </c>
      <c r="E12" s="4">
        <v>13</v>
      </c>
      <c r="F12" s="4">
        <v>50</v>
      </c>
      <c r="G12" s="6">
        <v>16</v>
      </c>
      <c r="H12" s="4" t="s">
        <v>10</v>
      </c>
    </row>
    <row r="13" spans="1:8" s="3" customFormat="1" ht="15.75" thickBot="1">
      <c r="A13" s="4" t="s">
        <v>27</v>
      </c>
      <c r="B13" s="4" t="s">
        <v>28</v>
      </c>
      <c r="C13" s="4" t="s">
        <v>15</v>
      </c>
      <c r="D13" s="4" t="s">
        <v>13</v>
      </c>
      <c r="E13" s="4">
        <v>28</v>
      </c>
      <c r="F13" s="4">
        <v>130</v>
      </c>
      <c r="G13" s="6">
        <v>38</v>
      </c>
      <c r="H13" s="4" t="s">
        <v>16</v>
      </c>
    </row>
    <row r="14" spans="1:8" s="3" customFormat="1" ht="15.75" thickBot="1">
      <c r="A14" s="4" t="s">
        <v>28</v>
      </c>
      <c r="B14" s="4" t="s">
        <v>29</v>
      </c>
      <c r="C14" s="4" t="s">
        <v>12</v>
      </c>
      <c r="D14" s="4" t="s">
        <v>18</v>
      </c>
      <c r="E14" s="4">
        <v>10</v>
      </c>
      <c r="F14" s="4">
        <v>22</v>
      </c>
      <c r="G14" s="6">
        <v>12</v>
      </c>
      <c r="H14" s="4" t="s">
        <v>10</v>
      </c>
    </row>
    <row r="15" spans="1:8" s="3" customFormat="1" ht="15.75" thickBot="1">
      <c r="A15" s="4" t="s">
        <v>29</v>
      </c>
      <c r="B15" s="4" t="s">
        <v>30</v>
      </c>
      <c r="C15" s="4" t="s">
        <v>8</v>
      </c>
      <c r="D15" s="4" t="s">
        <v>9</v>
      </c>
      <c r="E15" s="4">
        <v>14</v>
      </c>
      <c r="F15" s="4">
        <v>48</v>
      </c>
      <c r="G15" s="6">
        <v>17</v>
      </c>
      <c r="H15" s="4" t="s">
        <v>10</v>
      </c>
    </row>
    <row r="16" spans="1:8" s="3" customFormat="1" ht="15.75" thickBot="1">
      <c r="A16" s="4" t="s">
        <v>30</v>
      </c>
      <c r="B16" s="4" t="s">
        <v>31</v>
      </c>
      <c r="C16" s="4" t="s">
        <v>15</v>
      </c>
      <c r="D16" s="4" t="s">
        <v>13</v>
      </c>
      <c r="E16" s="4">
        <v>31</v>
      </c>
      <c r="F16" s="4">
        <v>150</v>
      </c>
      <c r="G16" s="6">
        <v>42</v>
      </c>
      <c r="H16" s="4" t="s">
        <v>16</v>
      </c>
    </row>
    <row r="18" spans="7:7" s="3" customFormat="1">
      <c r="G18" s="7"/>
    </row>
  </sheetData>
  <customSheetViews>
    <customSheetView guid="{20A29CF7-0ECD-4E2A-8EE1-4ADB988A3385}">
      <selection sqref="A1:XFD1048576"/>
      <pageMargins left="0.7" right="0.7" top="0.75" bottom="0.75" header="0.3" footer="0.3"/>
    </customSheetView>
  </customSheetViews>
  <conditionalFormatting sqref="A1:XFD1048576">
    <cfRule type="colorScale" priority="1">
      <colorScale>
        <cfvo type="min" val="0"/>
        <cfvo type="percentile" val="50"/>
        <cfvo type="max" val="0"/>
        <color theme="4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B2" sqref="B2"/>
    </sheetView>
  </sheetViews>
  <sheetFormatPr defaultRowHeight="15"/>
  <cols>
    <col min="1" max="1" width="15" customWidth="1"/>
    <col min="2" max="2" width="20.28515625" bestFit="1" customWidth="1"/>
    <col min="3" max="3" width="24.140625" customWidth="1"/>
    <col min="4" max="4" width="19.42578125" customWidth="1"/>
    <col min="5" max="5" width="18.28515625" customWidth="1"/>
    <col min="6" max="6" width="17.28515625" customWidth="1"/>
    <col min="7" max="16" width="6.5703125" customWidth="1"/>
    <col min="17" max="17" width="24.140625" bestFit="1" customWidth="1"/>
    <col min="18" max="18" width="5.5703125" customWidth="1"/>
    <col min="19" max="31" width="6.5703125" customWidth="1"/>
    <col min="32" max="32" width="25.28515625" bestFit="1" customWidth="1"/>
    <col min="33" max="33" width="29.140625" bestFit="1" customWidth="1"/>
  </cols>
  <sheetData>
    <row r="1" spans="1:6">
      <c r="A1" s="8" t="s">
        <v>6</v>
      </c>
      <c r="B1" t="s">
        <v>10</v>
      </c>
    </row>
    <row r="2" spans="1:6">
      <c r="A2" s="8" t="s">
        <v>1</v>
      </c>
      <c r="B2" t="s">
        <v>12</v>
      </c>
    </row>
    <row r="4" spans="1:6">
      <c r="B4" s="8" t="s">
        <v>37</v>
      </c>
    </row>
    <row r="5" spans="1:6">
      <c r="A5" s="8" t="s">
        <v>32</v>
      </c>
      <c r="B5" t="s">
        <v>34</v>
      </c>
      <c r="C5" t="s">
        <v>35</v>
      </c>
      <c r="D5" t="s">
        <v>36</v>
      </c>
      <c r="E5" t="s">
        <v>39</v>
      </c>
      <c r="F5" t="s">
        <v>38</v>
      </c>
    </row>
    <row r="6" spans="1:6">
      <c r="A6" s="9" t="s">
        <v>13</v>
      </c>
      <c r="B6" s="10">
        <v>17</v>
      </c>
      <c r="C6" s="10">
        <v>45</v>
      </c>
      <c r="D6" s="10">
        <v>21</v>
      </c>
      <c r="E6" s="10">
        <v>2</v>
      </c>
      <c r="F6" s="10">
        <v>2</v>
      </c>
    </row>
    <row r="7" spans="1:6">
      <c r="A7" s="11" t="s">
        <v>11</v>
      </c>
      <c r="B7" s="10">
        <v>8</v>
      </c>
      <c r="C7" s="10">
        <v>20</v>
      </c>
      <c r="D7" s="10">
        <v>10</v>
      </c>
      <c r="E7" s="10">
        <v>1</v>
      </c>
      <c r="F7" s="10">
        <v>1</v>
      </c>
    </row>
    <row r="8" spans="1:6">
      <c r="A8" s="11" t="s">
        <v>23</v>
      </c>
      <c r="B8" s="10">
        <v>9</v>
      </c>
      <c r="C8" s="10">
        <v>25</v>
      </c>
      <c r="D8" s="10">
        <v>11</v>
      </c>
      <c r="E8" s="10">
        <v>1</v>
      </c>
      <c r="F8" s="10">
        <v>1</v>
      </c>
    </row>
    <row r="9" spans="1:6">
      <c r="A9" s="9" t="s">
        <v>18</v>
      </c>
      <c r="B9" s="10">
        <v>10</v>
      </c>
      <c r="C9" s="10">
        <v>22</v>
      </c>
      <c r="D9" s="10">
        <v>12</v>
      </c>
      <c r="E9" s="10">
        <v>1</v>
      </c>
      <c r="F9" s="10">
        <v>1</v>
      </c>
    </row>
    <row r="10" spans="1:6">
      <c r="A10" s="11" t="s">
        <v>28</v>
      </c>
      <c r="B10" s="10">
        <v>10</v>
      </c>
      <c r="C10" s="10">
        <v>22</v>
      </c>
      <c r="D10" s="10">
        <v>12</v>
      </c>
      <c r="E10" s="10">
        <v>1</v>
      </c>
      <c r="F10" s="10">
        <v>1</v>
      </c>
    </row>
    <row r="11" spans="1:6">
      <c r="A11" s="9" t="s">
        <v>33</v>
      </c>
      <c r="B11" s="10">
        <v>27</v>
      </c>
      <c r="C11" s="10">
        <v>67</v>
      </c>
      <c r="D11" s="10">
        <v>33</v>
      </c>
      <c r="E11" s="10">
        <v>3</v>
      </c>
      <c r="F11" s="10">
        <v>3</v>
      </c>
    </row>
  </sheetData>
  <customSheetViews>
    <customSheetView guid="{20A29CF7-0ECD-4E2A-8EE1-4ADB988A3385}">
      <selection sqref="A1:XFD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A9"/>
  <sheetViews>
    <sheetView showGridLines="0" showRowColHeaders="0" tabSelected="1" topLeftCell="K20" workbookViewId="0">
      <selection activeCell="AA37" sqref="AA37"/>
    </sheetView>
  </sheetViews>
  <sheetFormatPr defaultRowHeight="15"/>
  <sheetData>
    <row r="9" spans="27:27">
      <c r="AA9" t="s">
        <v>40</v>
      </c>
    </row>
  </sheetData>
  <customSheetViews>
    <customSheetView guid="{20A29CF7-0ECD-4E2A-8EE1-4ADB988A3385}" showGridLines="0" showRowCol="0" topLeftCell="H1">
      <pane xSplit="2" topLeftCell="J1" activePane="topRight" state="frozen"/>
      <selection pane="topRight" activeCell="J1" sqref="J1"/>
      <pageMargins left="0.7" right="0.7" top="0.75" bottom="0.75" header="0.3" footer="0.3"/>
      <pageSetup orientation="portrait" r:id="rId1"/>
      <headerFooter>
        <oddHeader>&amp;CLogistics Efficiency Audit Dash board</oddHeader>
      </headerFooter>
    </customSheetView>
  </customSheetViews>
  <pageMargins left="0.7" right="0.7" top="0.75" bottom="0.75" header="0.3" footer="0.3"/>
  <pageSetup orientation="portrait" r:id="rId2"/>
  <headerFooter>
    <oddHeader>&amp;CLogistics Efficiency Audit Dash board</oddHead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04857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raw data </vt:lpstr>
      <vt:lpstr>clean data</vt:lpstr>
      <vt:lpstr>pivot table</vt:lpstr>
      <vt:lpstr>Sheet5</vt:lpstr>
      <vt:lpstr>Sheet1</vt:lpstr>
      <vt:lpstr>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2026-01-05T03:25:46Z</dcterms:created>
  <dcterms:modified xsi:type="dcterms:W3CDTF">2026-01-05T18:35:04Z</dcterms:modified>
</cp:coreProperties>
</file>